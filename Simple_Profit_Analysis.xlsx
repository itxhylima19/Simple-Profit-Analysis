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0a274efe3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a2b5e575d9a94980"/>
    <x:sheet xmlns:r="http://schemas.openxmlformats.org/officeDocument/2006/relationships" name="Profit Summary" sheetId="2" r:id="R52186494feed43d0"/>
    <x:sheet xmlns:r="http://schemas.openxmlformats.org/officeDocument/2006/relationships" name="README" sheetId="3" r:id="R33da0a002463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$#,##0.00;[Red]-$#,##0.00"/>
    <x:numFmt numFmtId="202" formatCode="0.0%"/>
    <x:numFmt numFmtId="203" formatCode="$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df499dfa34405" /><Relationship Type="http://schemas.openxmlformats.org/officeDocument/2006/relationships/theme" Target="/xl/theme/theme1.xml" Id="R0ea358d8e1b34175" /><Relationship Type="http://schemas.openxmlformats.org/officeDocument/2006/relationships/sharedStrings" Target="/xl/sharedStrings.xml" Id="R7274014116304384" /><Relationship Type="http://schemas.openxmlformats.org/officeDocument/2006/relationships/worksheet" Target="/xl/worksheets/sheet1.xml" Id="Ra2b5e575d9a94980" /><Relationship Type="http://schemas.openxmlformats.org/officeDocument/2006/relationships/worksheet" Target="/xl/worksheets/sheet2.xml" Id="R52186494feed43d0" /><Relationship Type="http://schemas.openxmlformats.org/officeDocument/2006/relationships/worksheet" Target="/xl/worksheets/sheet3.xml" Id="R33da0a00246344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58734b774b47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Profit by Product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Sales</c:v>
          </c:tx>
          <c:cat>
            <c:strRef>
              <c:f>'Profit Summary'!$A$4:$A$6</c:f>
              <c:strCache>
                <c:ptCount val="0"/>
              </c:strCache>
            </c:strRef>
          </c:cat>
          <c:val>
            <c:numRef>
              <c:f>'Profit Summary'!$B$4:$B$6</c:f>
              <c:numCache>
                <c:formatCode>$#,##0.00;[Red]-$#,##0.00</c:formatCode>
                <c:ptCount val="0"/>
              </c:numCache>
            </c:numRef>
          </c:val>
        </c:ser>
        <c:ser>
          <c:idx val="1"/>
          <c:order val="1"/>
          <c:tx>
            <c:v>Total Profit</c:v>
          </c:tx>
          <c:cat>
            <c:strRef>
              <c:f>'Profit Summary'!$A$4:$A$6</c:f>
              <c:strCache>
                <c:ptCount val="0"/>
              </c:strCache>
            </c:strRef>
          </c:cat>
          <c:val>
            <c:numRef>
              <c:f>'Profit Summary'!$C$4:$C$6</c:f>
              <c:numCache>
                <c:formatCode>$#,##0.00;[Red]-$#,##0.00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58734b774b47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Table" displayName="SalesDataTable" ref="A1:H61" headerRowCount="1" totalsRowCount="0" totalsRowShown="0">
  <x:tableColumns count="8">
    <x:tableColumn id="1" name="Order ID"/>
    <x:tableColumn id="2" name="Order Date"/>
    <x:tableColumn id="3" name="Category"/>
    <x:tableColumn id="4" name="Sub-Category"/>
    <x:tableColumn id="5" name="Sales"/>
    <x:tableColumn id="6" name="Cost"/>
    <x:tableColumn id="7" name="Profit"/>
    <x:tableColumn id="8" name="Profit Mar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b39dedfa304d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a68d4499508480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" t="str">
        <x:v>Order ID</x:v>
      </x:c>
      <x:c r="B1" s="4" t="str">
        <x:v>Order Date</x:v>
      </x:c>
      <x:c r="C1" s="4" t="str">
        <x:v>Category</x:v>
      </x:c>
      <x:c r="D1" s="4" t="str">
        <x:v>Sub-Category</x:v>
      </x:c>
      <x:c r="E1" s="4" t="str">
        <x:v>Sales</x:v>
      </x:c>
      <x:c r="F1" s="4" t="str">
        <x:v>Cost</x:v>
      </x:c>
      <x:c r="G1" s="4" t="str">
        <x:v>Profit</x:v>
      </x:c>
      <x:c r="H1" s="4" t="str">
        <x:v>Profit Margin</x:v>
      </x:c>
    </x:row>
    <x:row r="2">
      <x:c r="A2" t="str">
        <x:v>ORD-0001</x:v>
      </x:c>
      <x:c r="B2" s="8" t="n">
        <x:v>46206</x:v>
      </x:c>
      <x:c r="C2" t="str">
        <x:v>Office Supplies</x:v>
      </x:c>
      <x:c r="D2" t="str">
        <x:v>Paper</x:v>
      </x:c>
      <x:c r="E2" s="10" t="n">
        <x:v>109.37</x:v>
      </x:c>
      <x:c r="F2" s="10" t="n">
        <x:v>72.46</x:v>
      </x:c>
      <x:c r="G2" s="10" t="n">
        <x:f>E2-F2</x:f>
        <x:v>36.91000000000001</x:v>
      </x:c>
      <x:c r="H2" s="12" t="n">
        <x:f>IFERROR(G2/E2,0)</x:f>
        <x:v>0.33747828472158736</x:v>
      </x:c>
    </x:row>
    <x:row r="3">
      <x:c r="A3" t="str">
        <x:v>ORD-0002</x:v>
      </x:c>
      <x:c r="B3" s="8" t="n">
        <x:v>46030</x:v>
      </x:c>
      <x:c r="C3" t="str">
        <x:v>Furniture</x:v>
      </x:c>
      <x:c r="D3" t="str">
        <x:v>Tables</x:v>
      </x:c>
      <x:c r="E3" s="10" t="n">
        <x:v>539.9</x:v>
      </x:c>
      <x:c r="F3" s="10" t="n">
        <x:v>497.06</x:v>
      </x:c>
      <x:c r="G3" s="10" t="n">
        <x:f>E3-F3</x:f>
        <x:v>42.839999999999975</x:v>
      </x:c>
      <x:c r="H3" s="12" t="n">
        <x:f>IFERROR(G3/E3,0)</x:f>
        <x:v>0.07934802741248376</x:v>
      </x:c>
    </x:row>
    <x:row r="4">
      <x:c r="A4" t="str">
        <x:v>ORD-0003</x:v>
      </x:c>
      <x:c r="B4" s="8" t="n">
        <x:v>46278</x:v>
      </x:c>
      <x:c r="C4" t="str">
        <x:v>Furniture</x:v>
      </x:c>
      <x:c r="D4" t="str">
        <x:v>Furnishings</x:v>
      </x:c>
      <x:c r="E4" s="10" t="n">
        <x:v>1630.85</x:v>
      </x:c>
      <x:c r="F4" s="10" t="n">
        <x:v>1735.35</x:v>
      </x:c>
      <x:c r="G4" s="10" t="n">
        <x:f>E4-F4</x:f>
        <x:v>-104.5</x:v>
      </x:c>
      <x:c r="H4" s="12" t="n">
        <x:f>IFERROR(G4/E4,0)</x:f>
        <x:v>-0.0640770150534997</x:v>
      </x:c>
    </x:row>
    <x:row r="5">
      <x:c r="A5" t="str">
        <x:v>ORD-0004</x:v>
      </x:c>
      <x:c r="B5" s="8" t="n">
        <x:v>46243</x:v>
      </x:c>
      <x:c r="C5" t="str">
        <x:v>Office Supplies</x:v>
      </x:c>
      <x:c r="D5" t="str">
        <x:v>Paper</x:v>
      </x:c>
      <x:c r="E5" s="10" t="n">
        <x:v>961.73</x:v>
      </x:c>
      <x:c r="F5" s="10" t="n">
        <x:v>857.43</x:v>
      </x:c>
      <x:c r="G5" s="10" t="n">
        <x:f>E5-F5</x:f>
        <x:v>104.30000000000007</x:v>
      </x:c>
      <x:c r="H5" s="12" t="n">
        <x:f>IFERROR(G5/E5,0)</x:f>
        <x:v>0.10845039668098122</x:v>
      </x:c>
    </x:row>
    <x:row r="6">
      <x:c r="A6" t="str">
        <x:v>ORD-0005</x:v>
      </x:c>
      <x:c r="B6" s="8" t="n">
        <x:v>46111</x:v>
      </x:c>
      <x:c r="C6" t="str">
        <x:v>Office Supplies</x:v>
      </x:c>
      <x:c r="D6" t="str">
        <x:v>Paper</x:v>
      </x:c>
      <x:c r="E6" s="10" t="n">
        <x:v>433.68</x:v>
      </x:c>
      <x:c r="F6" s="10" t="n">
        <x:v>348.24</x:v>
      </x:c>
      <x:c r="G6" s="10" t="n">
        <x:f>E6-F6</x:f>
        <x:v>85.44</x:v>
      </x:c>
      <x:c r="H6" s="12" t="n">
        <x:f>IFERROR(G6/E6,0)</x:f>
        <x:v>0.19701162147205312</x:v>
      </x:c>
    </x:row>
    <x:row r="7">
      <x:c r="A7" t="str">
        <x:v>ORD-0006</x:v>
      </x:c>
      <x:c r="B7" s="8" t="n">
        <x:v>46208</x:v>
      </x:c>
      <x:c r="C7" t="str">
        <x:v>Technology</x:v>
      </x:c>
      <x:c r="D7" t="str">
        <x:v>Accessories</x:v>
      </x:c>
      <x:c r="E7" s="10" t="n">
        <x:v>1749.66</x:v>
      </x:c>
      <x:c r="F7" s="10" t="n">
        <x:v>1335.4</x:v>
      </x:c>
      <x:c r="G7" s="10" t="n">
        <x:f>E7-F7</x:f>
        <x:v>414.26</x:v>
      </x:c>
      <x:c r="H7" s="12" t="n">
        <x:f>IFERROR(G7/E7,0)</x:f>
        <x:v>0.23676600025147743</x:v>
      </x:c>
    </x:row>
    <x:row r="8">
      <x:c r="A8" t="str">
        <x:v>ORD-0007</x:v>
      </x:c>
      <x:c r="B8" s="8" t="n">
        <x:v>46066</x:v>
      </x:c>
      <x:c r="C8" t="str">
        <x:v>Technology</x:v>
      </x:c>
      <x:c r="D8" t="str">
        <x:v>Machines</x:v>
      </x:c>
      <x:c r="E8" s="10" t="n">
        <x:v>1745.93</x:v>
      </x:c>
      <x:c r="F8" s="10" t="n">
        <x:v>1190.35</x:v>
      </x:c>
      <x:c r="G8" s="10" t="n">
        <x:f>E8-F8</x:f>
        <x:v>555.5800000000002</x:v>
      </x:c>
      <x:c r="H8" s="12" t="n">
        <x:f>IFERROR(G8/E8,0)</x:f>
        <x:v>0.3182143614005144</x:v>
      </x:c>
    </x:row>
    <x:row r="9">
      <x:c r="A9" t="str">
        <x:v>ORD-0008</x:v>
      </x:c>
      <x:c r="B9" s="8" t="n">
        <x:v>46252</x:v>
      </x:c>
      <x:c r="C9" t="str">
        <x:v>Office Supplies</x:v>
      </x:c>
      <x:c r="D9" t="str">
        <x:v>Binders</x:v>
      </x:c>
      <x:c r="E9" s="10" t="n">
        <x:v>1314.81</x:v>
      </x:c>
      <x:c r="F9" s="10" t="n">
        <x:v>1304.87</x:v>
      </x:c>
      <x:c r="G9" s="10" t="n">
        <x:f>E9-F9</x:f>
        <x:v>9.940000000000055</x:v>
      </x:c>
      <x:c r="H9" s="12" t="n">
        <x:f>IFERROR(G9/E9,0)</x:f>
        <x:v>0.007560027684608464</x:v>
      </x:c>
    </x:row>
    <x:row r="10">
      <x:c r="A10" t="str">
        <x:v>ORD-0009</x:v>
      </x:c>
      <x:c r="B10" s="8" t="n">
        <x:v>46123</x:v>
      </x:c>
      <x:c r="C10" t="str">
        <x:v>Technology</x:v>
      </x:c>
      <x:c r="D10" t="str">
        <x:v>Accessories</x:v>
      </x:c>
      <x:c r="E10" s="10" t="n">
        <x:v>393.09</x:v>
      </x:c>
      <x:c r="F10" s="10" t="n">
        <x:v>307.48</x:v>
      </x:c>
      <x:c r="G10" s="10" t="n">
        <x:f>E10-F10</x:f>
        <x:v>85.60999999999996</x:v>
      </x:c>
      <x:c r="H10" s="12" t="n">
        <x:f>IFERROR(G10/E10,0)</x:f>
        <x:v>0.21778727517871216</x:v>
      </x:c>
    </x:row>
    <x:row r="11">
      <x:c r="A11" t="str">
        <x:v>ORD-0010</x:v>
      </x:c>
      <x:c r="B11" s="8" t="n">
        <x:v>46241</x:v>
      </x:c>
      <x:c r="C11" t="str">
        <x:v>Technology</x:v>
      </x:c>
      <x:c r="D11" t="str">
        <x:v>Phones</x:v>
      </x:c>
      <x:c r="E11" s="10" t="n">
        <x:v>221.6</x:v>
      </x:c>
      <x:c r="F11" s="10" t="n">
        <x:v>183.4</x:v>
      </x:c>
      <x:c r="G11" s="10" t="n">
        <x:f>E11-F11</x:f>
        <x:v>38.19999999999999</x:v>
      </x:c>
      <x:c r="H11" s="12" t="n">
        <x:f>IFERROR(G11/E11,0)</x:f>
        <x:v>0.17238267148014436</x:v>
      </x:c>
    </x:row>
    <x:row r="12">
      <x:c r="A12" t="str">
        <x:v>ORD-0011</x:v>
      </x:c>
      <x:c r="B12" s="8" t="n">
        <x:v>46078</x:v>
      </x:c>
      <x:c r="C12" t="str">
        <x:v>Furniture</x:v>
      </x:c>
      <x:c r="D12" t="str">
        <x:v>Bookcases</x:v>
      </x:c>
      <x:c r="E12" s="10" t="n">
        <x:v>1696.96</x:v>
      </x:c>
      <x:c r="F12" s="10" t="n">
        <x:v>1343.91</x:v>
      </x:c>
      <x:c r="G12" s="10" t="n">
        <x:f>E12-F12</x:f>
        <x:v>353.04999999999995</x:v>
      </x:c>
      <x:c r="H12" s="12" t="n">
        <x:f>IFERROR(G12/E12,0)</x:f>
        <x:v>0.20804851027720156</x:v>
      </x:c>
    </x:row>
    <x:row r="13">
      <x:c r="A13" t="str">
        <x:v>ORD-0012</x:v>
      </x:c>
      <x:c r="B13" s="8" t="n">
        <x:v>46255</x:v>
      </x:c>
      <x:c r="C13" t="str">
        <x:v>Office Supplies</x:v>
      </x:c>
      <x:c r="D13" t="str">
        <x:v>Storage</x:v>
      </x:c>
      <x:c r="E13" s="10" t="n">
        <x:v>1012.51</x:v>
      </x:c>
      <x:c r="F13" s="10" t="n">
        <x:v>854.74</x:v>
      </x:c>
      <x:c r="G13" s="10" t="n">
        <x:f>E13-F13</x:f>
        <x:v>157.76999999999998</x:v>
      </x:c>
      <x:c r="H13" s="12" t="n">
        <x:f>IFERROR(G13/E13,0)</x:f>
        <x:v>0.15582068325251108</x:v>
      </x:c>
    </x:row>
    <x:row r="14">
      <x:c r="A14" t="str">
        <x:v>ORD-0013</x:v>
      </x:c>
      <x:c r="B14" s="8" t="n">
        <x:v>46275</x:v>
      </x:c>
      <x:c r="C14" t="str">
        <x:v>Technology</x:v>
      </x:c>
      <x:c r="D14" t="str">
        <x:v>Accessories</x:v>
      </x:c>
      <x:c r="E14" s="10" t="n">
        <x:v>524.48</x:v>
      </x:c>
      <x:c r="F14" s="10" t="n">
        <x:v>467.07</x:v>
      </x:c>
      <x:c r="G14" s="10" t="n">
        <x:f>E14-F14</x:f>
        <x:v>57.410000000000025</x:v>
      </x:c>
      <x:c r="H14" s="12" t="n">
        <x:f>IFERROR(G14/E14,0)</x:f>
        <x:v>0.1094607992678463</x:v>
      </x:c>
    </x:row>
    <x:row r="15">
      <x:c r="A15" t="str">
        <x:v>ORD-0014</x:v>
      </x:c>
      <x:c r="B15" s="8" t="n">
        <x:v>46074</x:v>
      </x:c>
      <x:c r="C15" t="str">
        <x:v>Furniture</x:v>
      </x:c>
      <x:c r="D15" t="str">
        <x:v>Bookcases</x:v>
      </x:c>
      <x:c r="E15" s="10" t="n">
        <x:v>1018.22</x:v>
      </x:c>
      <x:c r="F15" s="10" t="n">
        <x:v>957.15</x:v>
      </x:c>
      <x:c r="G15" s="10" t="n">
        <x:f>E15-F15</x:f>
        <x:v>61.07000000000005</x:v>
      </x:c>
      <x:c r="H15" s="12" t="n">
        <x:f>IFERROR(G15/E15,0)</x:f>
        <x:v>0.059977215140146575</x:v>
      </x:c>
    </x:row>
    <x:row r="16">
      <x:c r="A16" t="str">
        <x:v>ORD-0015</x:v>
      </x:c>
      <x:c r="B16" s="8" t="n">
        <x:v>46224</x:v>
      </x:c>
      <x:c r="C16" t="str">
        <x:v>Office Supplies</x:v>
      </x:c>
      <x:c r="D16" t="str">
        <x:v>Binders</x:v>
      </x:c>
      <x:c r="E16" s="10" t="n">
        <x:v>852.82</x:v>
      </x:c>
      <x:c r="F16" s="10" t="n">
        <x:v>726.44</x:v>
      </x:c>
      <x:c r="G16" s="10" t="n">
        <x:f>E16-F16</x:f>
        <x:v>126.38</x:v>
      </x:c>
      <x:c r="H16" s="12" t="n">
        <x:f>IFERROR(G16/E16,0)</x:f>
        <x:v>0.1481907084730658</x:v>
      </x:c>
    </x:row>
    <x:row r="17">
      <x:c r="A17" t="str">
        <x:v>ORD-0016</x:v>
      </x:c>
      <x:c r="B17" s="8" t="n">
        <x:v>46029</x:v>
      </x:c>
      <x:c r="C17" t="str">
        <x:v>Furniture</x:v>
      </x:c>
      <x:c r="D17" t="str">
        <x:v>Tables</x:v>
      </x:c>
      <x:c r="E17" s="10" t="n">
        <x:v>1472.45</x:v>
      </x:c>
      <x:c r="F17" s="10" t="n">
        <x:v>1255.58</x:v>
      </x:c>
      <x:c r="G17" s="10" t="n">
        <x:f>E17-F17</x:f>
        <x:v>216.87000000000012</x:v>
      </x:c>
      <x:c r="H17" s="12" t="n">
        <x:f>IFERROR(G17/E17,0)</x:f>
        <x:v>0.14728513701653714</x:v>
      </x:c>
    </x:row>
    <x:row r="18">
      <x:c r="A18" t="str">
        <x:v>ORD-0017</x:v>
      </x:c>
      <x:c r="B18" s="8" t="n">
        <x:v>46200</x:v>
      </x:c>
      <x:c r="C18" t="str">
        <x:v>Furniture</x:v>
      </x:c>
      <x:c r="D18" t="str">
        <x:v>Chairs</x:v>
      </x:c>
      <x:c r="E18" s="10" t="n">
        <x:v>1006.39</x:v>
      </x:c>
      <x:c r="F18" s="10" t="n">
        <x:v>1008.81</x:v>
      </x:c>
      <x:c r="G18" s="10" t="n">
        <x:f>E18-F18</x:f>
        <x:v>-2.419999999999959</x:v>
      </x:c>
      <x:c r="H18" s="12" t="n">
        <x:f>IFERROR(G18/E18,0)</x:f>
        <x:v>-0.002404634386271683</x:v>
      </x:c>
    </x:row>
    <x:row r="19">
      <x:c r="A19" t="str">
        <x:v>ORD-0018</x:v>
      </x:c>
      <x:c r="B19" s="8" t="n">
        <x:v>46041</x:v>
      </x:c>
      <x:c r="C19" t="str">
        <x:v>Furniture</x:v>
      </x:c>
      <x:c r="D19" t="str">
        <x:v>Furnishings</x:v>
      </x:c>
      <x:c r="E19" s="10" t="n">
        <x:v>923.83</x:v>
      </x:c>
      <x:c r="F19" s="10" t="n">
        <x:v>745.04</x:v>
      </x:c>
      <x:c r="G19" s="10" t="n">
        <x:f>E19-F19</x:f>
        <x:v>178.79000000000008</x:v>
      </x:c>
      <x:c r="H19" s="12" t="n">
        <x:f>IFERROR(G19/E19,0)</x:f>
        <x:v>0.19353127739952164</x:v>
      </x:c>
    </x:row>
    <x:row r="20">
      <x:c r="A20" t="str">
        <x:v>ORD-0019</x:v>
      </x:c>
      <x:c r="B20" s="8" t="n">
        <x:v>46174</x:v>
      </x:c>
      <x:c r="C20" t="str">
        <x:v>Furniture</x:v>
      </x:c>
      <x:c r="D20" t="str">
        <x:v>Bookcases</x:v>
      </x:c>
      <x:c r="E20" s="10" t="n">
        <x:v>881.45</x:v>
      </x:c>
      <x:c r="F20" s="10" t="n">
        <x:v>797.08</x:v>
      </x:c>
      <x:c r="G20" s="10" t="n">
        <x:f>E20-F20</x:f>
        <x:v>84.37</x:v>
      </x:c>
      <x:c r="H20" s="12" t="n">
        <x:f>IFERROR(G20/E20,0)</x:f>
        <x:v>0.0957172840206478</x:v>
      </x:c>
    </x:row>
    <x:row r="21">
      <x:c r="A21" t="str">
        <x:v>ORD-0020</x:v>
      </x:c>
      <x:c r="B21" s="8" t="n">
        <x:v>46109</x:v>
      </x:c>
      <x:c r="C21" t="str">
        <x:v>Furniture</x:v>
      </x:c>
      <x:c r="D21" t="str">
        <x:v>Chairs</x:v>
      </x:c>
      <x:c r="E21" s="10" t="n">
        <x:v>258.03</x:v>
      </x:c>
      <x:c r="F21" s="10" t="n">
        <x:v>274</x:v>
      </x:c>
      <x:c r="G21" s="10" t="n">
        <x:f>E21-F21</x:f>
        <x:v>-15.970000000000027</x:v>
      </x:c>
      <x:c r="H21" s="12" t="n">
        <x:f>IFERROR(G21/E21,0)</x:f>
        <x:v>-0.06189202805875297</x:v>
      </x:c>
    </x:row>
    <x:row r="22">
      <x:c r="A22" t="str">
        <x:v>ORD-0021</x:v>
      </x:c>
      <x:c r="B22" s="8" t="n">
        <x:v>46250</x:v>
      </x:c>
      <x:c r="C22" t="str">
        <x:v>Technology</x:v>
      </x:c>
      <x:c r="D22" t="str">
        <x:v>Accessories</x:v>
      </x:c>
      <x:c r="E22" s="10" t="n">
        <x:v>515.27</x:v>
      </x:c>
      <x:c r="F22" s="10" t="n">
        <x:v>273.87</x:v>
      </x:c>
      <x:c r="G22" s="10" t="n">
        <x:f>E22-F22</x:f>
        <x:v>241.39999999999998</x:v>
      </x:c>
      <x:c r="H22" s="12" t="n">
        <x:f>IFERROR(G22/E22,0)</x:f>
        <x:v>0.4684922467832398</x:v>
      </x:c>
    </x:row>
    <x:row r="23">
      <x:c r="A23" t="str">
        <x:v>ORD-0022</x:v>
      </x:c>
      <x:c r="B23" s="8" t="n">
        <x:v>46234</x:v>
      </x:c>
      <x:c r="C23" t="str">
        <x:v>Office Supplies</x:v>
      </x:c>
      <x:c r="D23" t="str">
        <x:v>Art</x:v>
      </x:c>
      <x:c r="E23" s="10" t="n">
        <x:v>1479.66</x:v>
      </x:c>
      <x:c r="F23" s="10" t="n">
        <x:v>1200.96</x:v>
      </x:c>
      <x:c r="G23" s="10" t="n">
        <x:f>E23-F23</x:f>
        <x:v>278.70000000000005</x:v>
      </x:c>
      <x:c r="H23" s="12" t="n">
        <x:f>IFERROR(G23/E23,0)</x:f>
        <x:v>0.18835408134301126</x:v>
      </x:c>
    </x:row>
    <x:row r="24">
      <x:c r="A24" t="str">
        <x:v>ORD-0023</x:v>
      </x:c>
      <x:c r="B24" s="8" t="n">
        <x:v>46049</x:v>
      </x:c>
      <x:c r="C24" t="str">
        <x:v>Furniture</x:v>
      </x:c>
      <x:c r="D24" t="str">
        <x:v>Tables</x:v>
      </x:c>
      <x:c r="E24" s="10" t="n">
        <x:v>1018.77</x:v>
      </x:c>
      <x:c r="F24" s="10" t="n">
        <x:v>751.22</x:v>
      </x:c>
      <x:c r="G24" s="10" t="n">
        <x:f>E24-F24</x:f>
        <x:v>267.54999999999995</x:v>
      </x:c>
      <x:c r="H24" s="12" t="n">
        <x:f>IFERROR(G24/E24,0)</x:f>
        <x:v>0.2626206111291066</x:v>
      </x:c>
    </x:row>
    <x:row r="25">
      <x:c r="A25" t="str">
        <x:v>ORD-0024</x:v>
      </x:c>
      <x:c r="B25" s="8" t="n">
        <x:v>46094</x:v>
      </x:c>
      <x:c r="C25" t="str">
        <x:v>Office Supplies</x:v>
      </x:c>
      <x:c r="D25" t="str">
        <x:v>Paper</x:v>
      </x:c>
      <x:c r="E25" s="10" t="n">
        <x:v>123.53</x:v>
      </x:c>
      <x:c r="F25" s="10" t="n">
        <x:v>91.66</x:v>
      </x:c>
      <x:c r="G25" s="10" t="n">
        <x:f>E25-F25</x:f>
        <x:v>31.870000000000005</x:v>
      </x:c>
      <x:c r="H25" s="12" t="n">
        <x:f>IFERROR(G25/E25,0)</x:f>
        <x:v>0.2579940095523355</x:v>
      </x:c>
    </x:row>
    <x:row r="26">
      <x:c r="A26" t="str">
        <x:v>ORD-0025</x:v>
      </x:c>
      <x:c r="B26" s="8" t="n">
        <x:v>46081</x:v>
      </x:c>
      <x:c r="C26" t="str">
        <x:v>Office Supplies</x:v>
      </x:c>
      <x:c r="D26" t="str">
        <x:v>Art</x:v>
      </x:c>
      <x:c r="E26" s="10" t="n">
        <x:v>507.17</x:v>
      </x:c>
      <x:c r="F26" s="10" t="n">
        <x:v>376.55</x:v>
      </x:c>
      <x:c r="G26" s="10" t="n">
        <x:f>E26-F26</x:f>
        <x:v>130.62</x:v>
      </x:c>
      <x:c r="H26" s="12" t="n">
        <x:f>IFERROR(G26/E26,0)</x:f>
        <x:v>0.25754677918646607</x:v>
      </x:c>
    </x:row>
    <x:row r="27">
      <x:c r="A27" t="str">
        <x:v>ORD-0026</x:v>
      </x:c>
      <x:c r="B27" s="8" t="n">
        <x:v>46162</x:v>
      </x:c>
      <x:c r="C27" t="str">
        <x:v>Furniture</x:v>
      </x:c>
      <x:c r="D27" t="str">
        <x:v>Furnishings</x:v>
      </x:c>
      <x:c r="E27" s="10" t="n">
        <x:v>1455.2</x:v>
      </x:c>
      <x:c r="F27" s="10" t="n">
        <x:v>1173.84</x:v>
      </x:c>
      <x:c r="G27" s="10" t="n">
        <x:f>E27-F27</x:f>
        <x:v>281.3600000000001</x:v>
      </x:c>
      <x:c r="H27" s="12" t="n">
        <x:f>IFERROR(G27/E27,0)</x:f>
        <x:v>0.19334799340296874</x:v>
      </x:c>
    </x:row>
    <x:row r="28">
      <x:c r="A28" t="str">
        <x:v>ORD-0027</x:v>
      </x:c>
      <x:c r="B28" s="8" t="n">
        <x:v>46228</x:v>
      </x:c>
      <x:c r="C28" t="str">
        <x:v>Furniture</x:v>
      </x:c>
      <x:c r="D28" t="str">
        <x:v>Bookcases</x:v>
      </x:c>
      <x:c r="E28" s="10" t="n">
        <x:v>728.74</x:v>
      </x:c>
      <x:c r="F28" s="10" t="n">
        <x:v>607.4</x:v>
      </x:c>
      <x:c r="G28" s="10" t="n">
        <x:f>E28-F28</x:f>
        <x:v>121.34000000000003</x:v>
      </x:c>
      <x:c r="H28" s="12" t="n">
        <x:f>IFERROR(G28/E28,0)</x:f>
        <x:v>0.16650657298899474</x:v>
      </x:c>
    </x:row>
    <x:row r="29">
      <x:c r="A29" t="str">
        <x:v>ORD-0028</x:v>
      </x:c>
      <x:c r="B29" s="8" t="n">
        <x:v>46253</x:v>
      </x:c>
      <x:c r="C29" t="str">
        <x:v>Furniture</x:v>
      </x:c>
      <x:c r="D29" t="str">
        <x:v>Chairs</x:v>
      </x:c>
      <x:c r="E29" s="10" t="n">
        <x:v>377.84</x:v>
      </x:c>
      <x:c r="F29" s="10" t="n">
        <x:v>287.41</x:v>
      </x:c>
      <x:c r="G29" s="10" t="n">
        <x:f>E29-F29</x:f>
        <x:v>90.42999999999995</x:v>
      </x:c>
      <x:c r="H29" s="12" t="n">
        <x:f>IFERROR(G29/E29,0)</x:f>
        <x:v>0.23933410967605323</x:v>
      </x:c>
    </x:row>
    <x:row r="30">
      <x:c r="A30" t="str">
        <x:v>ORD-0029</x:v>
      </x:c>
      <x:c r="B30" s="8" t="n">
        <x:v>46113</x:v>
      </x:c>
      <x:c r="C30" t="str">
        <x:v>Technology</x:v>
      </x:c>
      <x:c r="D30" t="str">
        <x:v>Copiers</x:v>
      </x:c>
      <x:c r="E30" s="10" t="n">
        <x:v>1722.07</x:v>
      </x:c>
      <x:c r="F30" s="10" t="n">
        <x:v>1140.58</x:v>
      </x:c>
      <x:c r="G30" s="10" t="n">
        <x:f>E30-F30</x:f>
        <x:v>581.49</x:v>
      </x:c>
      <x:c r="H30" s="12" t="n">
        <x:f>IFERROR(G30/E30,0)</x:f>
        <x:v>0.33766920043900656</x:v>
      </x:c>
    </x:row>
    <x:row r="31">
      <x:c r="A31" t="str">
        <x:v>ORD-0030</x:v>
      </x:c>
      <x:c r="B31" s="8" t="n">
        <x:v>46067</x:v>
      </x:c>
      <x:c r="C31" t="str">
        <x:v>Technology</x:v>
      </x:c>
      <x:c r="D31" t="str">
        <x:v>Machines</x:v>
      </x:c>
      <x:c r="E31" s="10" t="n">
        <x:v>536.53</x:v>
      </x:c>
      <x:c r="F31" s="10" t="n">
        <x:v>419.95</x:v>
      </x:c>
      <x:c r="G31" s="10" t="n">
        <x:f>E31-F31</x:f>
        <x:v>116.57999999999998</x:v>
      </x:c>
      <x:c r="H31" s="12" t="n">
        <x:f>IFERROR(G31/E31,0)</x:f>
        <x:v>0.21728514714927402</x:v>
      </x:c>
    </x:row>
    <x:row r="32">
      <x:c r="A32" t="str">
        <x:v>ORD-0031</x:v>
      </x:c>
      <x:c r="B32" s="8" t="n">
        <x:v>46256</x:v>
      </x:c>
      <x:c r="C32" t="str">
        <x:v>Furniture</x:v>
      </x:c>
      <x:c r="D32" t="str">
        <x:v>Chairs</x:v>
      </x:c>
      <x:c r="E32" s="10" t="n">
        <x:v>1565.16</x:v>
      </x:c>
      <x:c r="F32" s="10" t="n">
        <x:v>985.22</x:v>
      </x:c>
      <x:c r="G32" s="10" t="n">
        <x:f>E32-F32</x:f>
        <x:v>579.94</x:v>
      </x:c>
      <x:c r="H32" s="12" t="n">
        <x:f>IFERROR(G32/E32,0)</x:f>
        <x:v>0.3705308083518618</x:v>
      </x:c>
    </x:row>
    <x:row r="33">
      <x:c r="A33" t="str">
        <x:v>ORD-0032</x:v>
      </x:c>
      <x:c r="B33" s="8" t="n">
        <x:v>46186</x:v>
      </x:c>
      <x:c r="C33" t="str">
        <x:v>Technology</x:v>
      </x:c>
      <x:c r="D33" t="str">
        <x:v>Copiers</x:v>
      </x:c>
      <x:c r="E33" s="10" t="n">
        <x:v>581.6</x:v>
      </x:c>
      <x:c r="F33" s="10" t="n">
        <x:v>431.91</x:v>
      </x:c>
      <x:c r="G33" s="10" t="n">
        <x:f>E33-F33</x:f>
        <x:v>149.69</x:v>
      </x:c>
      <x:c r="H33" s="12" t="n">
        <x:f>IFERROR(G33/E33,0)</x:f>
        <x:v>0.2573762035763411</x:v>
      </x:c>
    </x:row>
    <x:row r="34">
      <x:c r="A34" t="str">
        <x:v>ORD-0033</x:v>
      </x:c>
      <x:c r="B34" s="8" t="n">
        <x:v>46105</x:v>
      </x:c>
      <x:c r="C34" t="str">
        <x:v>Office Supplies</x:v>
      </x:c>
      <x:c r="D34" t="str">
        <x:v>Storage</x:v>
      </x:c>
      <x:c r="E34" s="10" t="n">
        <x:v>1464.16</x:v>
      </x:c>
      <x:c r="F34" s="10" t="n">
        <x:v>969.81</x:v>
      </x:c>
      <x:c r="G34" s="10" t="n">
        <x:f>E34-F34</x:f>
        <x:v>494.35000000000014</x:v>
      </x:c>
      <x:c r="H34" s="12" t="n">
        <x:f>IFERROR(G34/E34,0)</x:f>
        <x:v>0.33763386515134963</x:v>
      </x:c>
    </x:row>
    <x:row r="35">
      <x:c r="A35" t="str">
        <x:v>ORD-0034</x:v>
      </x:c>
      <x:c r="B35" s="8" t="n">
        <x:v>46267</x:v>
      </x:c>
      <x:c r="C35" t="str">
        <x:v>Office Supplies</x:v>
      </x:c>
      <x:c r="D35" t="str">
        <x:v>Paper</x:v>
      </x:c>
      <x:c r="E35" s="10" t="n">
        <x:v>801.64</x:v>
      </x:c>
      <x:c r="F35" s="10" t="n">
        <x:v>762.36</x:v>
      </x:c>
      <x:c r="G35" s="10" t="n">
        <x:f>E35-F35</x:f>
        <x:v>39.27999999999997</x:v>
      </x:c>
      <x:c r="H35" s="12" t="n">
        <x:f>IFERROR(G35/E35,0)</x:f>
        <x:v>0.048999550920612714</x:v>
      </x:c>
    </x:row>
    <x:row r="36">
      <x:c r="A36" t="str">
        <x:v>ORD-0035</x:v>
      </x:c>
      <x:c r="B36" s="8" t="n">
        <x:v>46158</x:v>
      </x:c>
      <x:c r="C36" t="str">
        <x:v>Technology</x:v>
      </x:c>
      <x:c r="D36" t="str">
        <x:v>Machines</x:v>
      </x:c>
      <x:c r="E36" s="10" t="n">
        <x:v>1006.73</x:v>
      </x:c>
      <x:c r="F36" s="10" t="n">
        <x:v>705.5</x:v>
      </x:c>
      <x:c r="G36" s="10" t="n">
        <x:f>E36-F36</x:f>
        <x:v>301.23</x:v>
      </x:c>
      <x:c r="H36" s="12" t="n">
        <x:f>IFERROR(G36/E36,0)</x:f>
        <x:v>0.2992162744727981</x:v>
      </x:c>
    </x:row>
    <x:row r="37">
      <x:c r="A37" t="str">
        <x:v>ORD-0036</x:v>
      </x:c>
      <x:c r="B37" s="8" t="n">
        <x:v>46259</x:v>
      </x:c>
      <x:c r="C37" t="str">
        <x:v>Furniture</x:v>
      </x:c>
      <x:c r="D37" t="str">
        <x:v>Bookcases</x:v>
      </x:c>
      <x:c r="E37" s="10" t="n">
        <x:v>269.87</x:v>
      </x:c>
      <x:c r="F37" s="10" t="n">
        <x:v>194.05</x:v>
      </x:c>
      <x:c r="G37" s="10" t="n">
        <x:f>E37-F37</x:f>
        <x:v>75.82</x:v>
      </x:c>
      <x:c r="H37" s="12" t="n">
        <x:f>IFERROR(G37/E37,0)</x:f>
        <x:v>0.2809500870789639</x:v>
      </x:c>
    </x:row>
    <x:row r="38">
      <x:c r="A38" t="str">
        <x:v>ORD-0037</x:v>
      </x:c>
      <x:c r="B38" s="8" t="n">
        <x:v>46155</x:v>
      </x:c>
      <x:c r="C38" t="str">
        <x:v>Furniture</x:v>
      </x:c>
      <x:c r="D38" t="str">
        <x:v>Bookcases</x:v>
      </x:c>
      <x:c r="E38" s="10" t="n">
        <x:v>1053.57</x:v>
      </x:c>
      <x:c r="F38" s="10" t="n">
        <x:v>649.8</x:v>
      </x:c>
      <x:c r="G38" s="10" t="n">
        <x:f>E38-F38</x:f>
        <x:v>403.77</x:v>
      </x:c>
      <x:c r="H38" s="12" t="n">
        <x:f>IFERROR(G38/E38,0)</x:f>
        <x:v>0.3832398416811413</x:v>
      </x:c>
    </x:row>
    <x:row r="39">
      <x:c r="A39" t="str">
        <x:v>ORD-0038</x:v>
      </x:c>
      <x:c r="B39" s="8" t="n">
        <x:v>46263</x:v>
      </x:c>
      <x:c r="C39" t="str">
        <x:v>Furniture</x:v>
      </x:c>
      <x:c r="D39" t="str">
        <x:v>Tables</x:v>
      </x:c>
      <x:c r="E39" s="10" t="n">
        <x:v>1391.37</x:v>
      </x:c>
      <x:c r="F39" s="10" t="n">
        <x:v>1248.52</x:v>
      </x:c>
      <x:c r="G39" s="10" t="n">
        <x:f>E39-F39</x:f>
        <x:v>142.8499999999999</x:v>
      </x:c>
      <x:c r="H39" s="12" t="n">
        <x:f>IFERROR(G39/E39,0)</x:f>
        <x:v>0.10266859282577598</x:v>
      </x:c>
    </x:row>
    <x:row r="40">
      <x:c r="A40" t="str">
        <x:v>ORD-0039</x:v>
      </x:c>
      <x:c r="B40" s="8" t="n">
        <x:v>46098</x:v>
      </x:c>
      <x:c r="C40" t="str">
        <x:v>Furniture</x:v>
      </x:c>
      <x:c r="D40" t="str">
        <x:v>Furnishings</x:v>
      </x:c>
      <x:c r="E40" s="10" t="n">
        <x:v>1468.34</x:v>
      </x:c>
      <x:c r="F40" s="10" t="n">
        <x:v>1179.46</x:v>
      </x:c>
      <x:c r="G40" s="10" t="n">
        <x:f>E40-F40</x:f>
        <x:v>288.8799999999999</x:v>
      </x:c>
      <x:c r="H40" s="12" t="n">
        <x:f>IFERROR(G40/E40,0)</x:f>
        <x:v>0.1967391748505114</x:v>
      </x:c>
    </x:row>
    <x:row r="41">
      <x:c r="A41" t="str">
        <x:v>ORD-0040</x:v>
      </x:c>
      <x:c r="B41" s="8" t="n">
        <x:v>46283</x:v>
      </x:c>
      <x:c r="C41" t="str">
        <x:v>Technology</x:v>
      </x:c>
      <x:c r="D41" t="str">
        <x:v>Phones</x:v>
      </x:c>
      <x:c r="E41" s="10" t="n">
        <x:v>390.19</x:v>
      </x:c>
      <x:c r="F41" s="10" t="n">
        <x:v>328.92</x:v>
      </x:c>
      <x:c r="G41" s="10" t="n">
        <x:f>E41-F41</x:f>
        <x:v>61.26999999999998</x:v>
      </x:c>
      <x:c r="H41" s="12" t="n">
        <x:f>IFERROR(G41/E41,0)</x:f>
        <x:v>0.15702606422512105</x:v>
      </x:c>
    </x:row>
    <x:row r="42">
      <x:c r="A42" t="str">
        <x:v>ORD-0041</x:v>
      </x:c>
      <x:c r="B42" s="8" t="n">
        <x:v>46109</x:v>
      </x:c>
      <x:c r="C42" t="str">
        <x:v>Office Supplies</x:v>
      </x:c>
      <x:c r="D42" t="str">
        <x:v>Storage</x:v>
      </x:c>
      <x:c r="E42" s="10" t="n">
        <x:v>584.07</x:v>
      </x:c>
      <x:c r="F42" s="10" t="n">
        <x:v>534.65</x:v>
      </x:c>
      <x:c r="G42" s="10" t="n">
        <x:f>E42-F42</x:f>
        <x:v>49.42000000000007</x:v>
      </x:c>
      <x:c r="H42" s="12" t="n">
        <x:f>IFERROR(G42/E42,0)</x:f>
        <x:v>0.08461314568459272</x:v>
      </x:c>
    </x:row>
    <x:row r="43">
      <x:c r="A43" t="str">
        <x:v>ORD-0042</x:v>
      </x:c>
      <x:c r="B43" s="8" t="n">
        <x:v>46116</x:v>
      </x:c>
      <x:c r="C43" t="str">
        <x:v>Furniture</x:v>
      </x:c>
      <x:c r="D43" t="str">
        <x:v>Chairs</x:v>
      </x:c>
      <x:c r="E43" s="10" t="n">
        <x:v>1648.33</x:v>
      </x:c>
      <x:c r="F43" s="10" t="n">
        <x:v>1541.83</x:v>
      </x:c>
      <x:c r="G43" s="10" t="n">
        <x:f>E43-F43</x:f>
        <x:v>106.5</x:v>
      </x:c>
      <x:c r="H43" s="12" t="n">
        <x:f>IFERROR(G43/E43,0)</x:f>
        <x:v>0.06461084855581103</x:v>
      </x:c>
    </x:row>
    <x:row r="44">
      <x:c r="A44" t="str">
        <x:v>ORD-0043</x:v>
      </x:c>
      <x:c r="B44" s="8" t="n">
        <x:v>46263</x:v>
      </x:c>
      <x:c r="C44" t="str">
        <x:v>Furniture</x:v>
      </x:c>
      <x:c r="D44" t="str">
        <x:v>Tables</x:v>
      </x:c>
      <x:c r="E44" s="10" t="n">
        <x:v>1130.92</x:v>
      </x:c>
      <x:c r="F44" s="10" t="n">
        <x:v>1056.84</x:v>
      </x:c>
      <x:c r="G44" s="10" t="n">
        <x:f>E44-F44</x:f>
        <x:v>74.08000000000015</x:v>
      </x:c>
      <x:c r="H44" s="12" t="n">
        <x:f>IFERROR(G44/E44,0)</x:f>
        <x:v>0.06550419127789778</x:v>
      </x:c>
    </x:row>
    <x:row r="45">
      <x:c r="A45" t="str">
        <x:v>ORD-0044</x:v>
      </x:c>
      <x:c r="B45" s="8" t="n">
        <x:v>46047</x:v>
      </x:c>
      <x:c r="C45" t="str">
        <x:v>Technology</x:v>
      </x:c>
      <x:c r="D45" t="str">
        <x:v>Machines</x:v>
      </x:c>
      <x:c r="E45" s="10" t="n">
        <x:v>1060.04</x:v>
      </x:c>
      <x:c r="F45" s="10" t="n">
        <x:v>929.56</x:v>
      </x:c>
      <x:c r="G45" s="10" t="n">
        <x:f>E45-F45</x:f>
        <x:v>130.48000000000002</x:v>
      </x:c>
      <x:c r="H45" s="12" t="n">
        <x:f>IFERROR(G45/E45,0)</x:f>
        <x:v>0.12308969472850083</x:v>
      </x:c>
    </x:row>
    <x:row r="46">
      <x:c r="A46" t="str">
        <x:v>ORD-0045</x:v>
      </x:c>
      <x:c r="B46" s="8" t="n">
        <x:v>46132</x:v>
      </x:c>
      <x:c r="C46" t="str">
        <x:v>Furniture</x:v>
      </x:c>
      <x:c r="D46" t="str">
        <x:v>Chairs</x:v>
      </x:c>
      <x:c r="E46" s="10" t="n">
        <x:v>642.2</x:v>
      </x:c>
      <x:c r="F46" s="10" t="n">
        <x:v>547.32</x:v>
      </x:c>
      <x:c r="G46" s="10" t="n">
        <x:f>E46-F46</x:f>
        <x:v>94.88</x:v>
      </x:c>
      <x:c r="H46" s="12" t="n">
        <x:f>IFERROR(G46/E46,0)</x:f>
        <x:v>0.147742136406104</x:v>
      </x:c>
    </x:row>
    <x:row r="47">
      <x:c r="A47" t="str">
        <x:v>ORD-0046</x:v>
      </x:c>
      <x:c r="B47" s="8" t="n">
        <x:v>46136</x:v>
      </x:c>
      <x:c r="C47" t="str">
        <x:v>Furniture</x:v>
      </x:c>
      <x:c r="D47" t="str">
        <x:v>Furnishings</x:v>
      </x:c>
      <x:c r="E47" s="10" t="n">
        <x:v>1786.34</x:v>
      </x:c>
      <x:c r="F47" s="10" t="n">
        <x:v>1529.41</x:v>
      </x:c>
      <x:c r="G47" s="10" t="n">
        <x:f>E47-F47</x:f>
        <x:v>256.92999999999984</x:v>
      </x:c>
      <x:c r="H47" s="12" t="n">
        <x:f>IFERROR(G47/E47,0)</x:f>
        <x:v>0.14383040182719967</x:v>
      </x:c>
    </x:row>
    <x:row r="48">
      <x:c r="A48" t="str">
        <x:v>ORD-0047</x:v>
      </x:c>
      <x:c r="B48" s="8" t="n">
        <x:v>46182</x:v>
      </x:c>
      <x:c r="C48" t="str">
        <x:v>Technology</x:v>
      </x:c>
      <x:c r="D48" t="str">
        <x:v>Copiers</x:v>
      </x:c>
      <x:c r="E48" s="10" t="n">
        <x:v>1221.07</x:v>
      </x:c>
      <x:c r="F48" s="10" t="n">
        <x:v>810.91</x:v>
      </x:c>
      <x:c r="G48" s="10" t="n">
        <x:f>E48-F48</x:f>
        <x:v>410.15999999999997</x:v>
      </x:c>
      <x:c r="H48" s="12" t="n">
        <x:f>IFERROR(G48/E48,0)</x:f>
        <x:v>0.3359021186336574</x:v>
      </x:c>
    </x:row>
    <x:row r="49">
      <x:c r="A49" t="str">
        <x:v>ORD-0048</x:v>
      </x:c>
      <x:c r="B49" s="8" t="n">
        <x:v>46181</x:v>
      </x:c>
      <x:c r="C49" t="str">
        <x:v>Office Supplies</x:v>
      </x:c>
      <x:c r="D49" t="str">
        <x:v>Binders</x:v>
      </x:c>
      <x:c r="E49" s="10" t="n">
        <x:v>693.35</x:v>
      </x:c>
      <x:c r="F49" s="10" t="n">
        <x:v>474.74</x:v>
      </x:c>
      <x:c r="G49" s="10" t="n">
        <x:f>E49-F49</x:f>
        <x:v>218.61</x:v>
      </x:c>
      <x:c r="H49" s="12" t="n">
        <x:f>IFERROR(G49/E49,0)</x:f>
        <x:v>0.31529530540131245</x:v>
      </x:c>
    </x:row>
    <x:row r="50">
      <x:c r="A50" t="str">
        <x:v>ORD-0049</x:v>
      </x:c>
      <x:c r="B50" s="8" t="n">
        <x:v>46105</x:v>
      </x:c>
      <x:c r="C50" t="str">
        <x:v>Furniture</x:v>
      </x:c>
      <x:c r="D50" t="str">
        <x:v>Furnishings</x:v>
      </x:c>
      <x:c r="E50" s="10" t="n">
        <x:v>759.51</x:v>
      </x:c>
      <x:c r="F50" s="10" t="n">
        <x:v>600.04</x:v>
      </x:c>
      <x:c r="G50" s="10" t="n">
        <x:f>E50-F50</x:f>
        <x:v>159.47000000000003</x:v>
      </x:c>
      <x:c r="H50" s="12" t="n">
        <x:f>IFERROR(G50/E50,0)</x:f>
        <x:v>0.20996431910047272</x:v>
      </x:c>
    </x:row>
    <x:row r="51">
      <x:c r="A51" t="str">
        <x:v>ORD-0050</x:v>
      </x:c>
      <x:c r="B51" s="8" t="n">
        <x:v>46052</x:v>
      </x:c>
      <x:c r="C51" t="str">
        <x:v>Furniture</x:v>
      </x:c>
      <x:c r="D51" t="str">
        <x:v>Bookcases</x:v>
      </x:c>
      <x:c r="E51" s="10" t="n">
        <x:v>779.71</x:v>
      </x:c>
      <x:c r="F51" s="10" t="n">
        <x:v>496.73</x:v>
      </x:c>
      <x:c r="G51" s="10" t="n">
        <x:f>E51-F51</x:f>
        <x:v>282.98</x:v>
      </x:c>
      <x:c r="H51" s="12" t="n">
        <x:f>IFERROR(G51/E51,0)</x:f>
        <x:v>0.36292980723602364</x:v>
      </x:c>
    </x:row>
    <x:row r="52">
      <x:c r="A52" t="str">
        <x:v>ORD-0051</x:v>
      </x:c>
      <x:c r="B52" s="8" t="n">
        <x:v>46235</x:v>
      </x:c>
      <x:c r="C52" t="str">
        <x:v>Furniture</x:v>
      </x:c>
      <x:c r="D52" t="str">
        <x:v>Bookcases</x:v>
      </x:c>
      <x:c r="E52" s="10" t="n">
        <x:v>1345.82</x:v>
      </x:c>
      <x:c r="F52" s="10" t="n">
        <x:v>1017.37</x:v>
      </x:c>
      <x:c r="G52" s="10" t="n">
        <x:f>E52-F52</x:f>
        <x:v>328.44999999999993</x:v>
      </x:c>
      <x:c r="H52" s="12" t="n">
        <x:f>IFERROR(G52/E52,0)</x:f>
        <x:v>0.2440519534558856</x:v>
      </x:c>
    </x:row>
    <x:row r="53">
      <x:c r="A53" t="str">
        <x:v>ORD-0052</x:v>
      </x:c>
      <x:c r="B53" s="8" t="n">
        <x:v>46040</x:v>
      </x:c>
      <x:c r="C53" t="str">
        <x:v>Office Supplies</x:v>
      </x:c>
      <x:c r="D53" t="str">
        <x:v>Binders</x:v>
      </x:c>
      <x:c r="E53" s="10" t="n">
        <x:v>1722.82</x:v>
      </x:c>
      <x:c r="F53" s="10" t="n">
        <x:v>1225.21</x:v>
      </x:c>
      <x:c r="G53" s="10" t="n">
        <x:f>E53-F53</x:f>
        <x:v>497.6099999999999</x:v>
      </x:c>
      <x:c r="H53" s="12" t="n">
        <x:f>IFERROR(G53/E53,0)</x:f>
        <x:v>0.28883458515689386</x:v>
      </x:c>
    </x:row>
    <x:row r="54">
      <x:c r="A54" t="str">
        <x:v>ORD-0053</x:v>
      </x:c>
      <x:c r="B54" s="8" t="n">
        <x:v>46278</x:v>
      </x:c>
      <x:c r="C54" t="str">
        <x:v>Technology</x:v>
      </x:c>
      <x:c r="D54" t="str">
        <x:v>Machines</x:v>
      </x:c>
      <x:c r="E54" s="10" t="n">
        <x:v>846.19</x:v>
      </x:c>
      <x:c r="F54" s="10" t="n">
        <x:v>706.47</x:v>
      </x:c>
      <x:c r="G54" s="10" t="n">
        <x:f>E54-F54</x:f>
        <x:v>139.72000000000003</x:v>
      </x:c>
      <x:c r="H54" s="12" t="n">
        <x:f>IFERROR(G54/E54,0)</x:f>
        <x:v>0.16511658138243188</x:v>
      </x:c>
    </x:row>
    <x:row r="55">
      <x:c r="A55" t="str">
        <x:v>ORD-0054</x:v>
      </x:c>
      <x:c r="B55" s="8" t="n">
        <x:v>46116</x:v>
      </x:c>
      <x:c r="C55" t="str">
        <x:v>Furniture</x:v>
      </x:c>
      <x:c r="D55" t="str">
        <x:v>Furnishings</x:v>
      </x:c>
      <x:c r="E55" s="10" t="n">
        <x:v>1479.73</x:v>
      </x:c>
      <x:c r="F55" s="10" t="n">
        <x:v>1481.08</x:v>
      </x:c>
      <x:c r="G55" s="10" t="n">
        <x:f>E55-F55</x:f>
        <x:v>-1.349999999999909</x:v>
      </x:c>
      <x:c r="H55" s="12" t="n">
        <x:f>IFERROR(G55/E55,0)</x:f>
        <x:v>-0.0009123286004878654</x:v>
      </x:c>
    </x:row>
    <x:row r="56">
      <x:c r="A56" t="str">
        <x:v>ORD-0055</x:v>
      </x:c>
      <x:c r="B56" s="8" t="n">
        <x:v>46024</x:v>
      </x:c>
      <x:c r="C56" t="str">
        <x:v>Office Supplies</x:v>
      </x:c>
      <x:c r="D56" t="str">
        <x:v>Binders</x:v>
      </x:c>
      <x:c r="E56" s="10" t="n">
        <x:v>1216.84</x:v>
      </x:c>
      <x:c r="F56" s="10" t="n">
        <x:v>808.18</x:v>
      </x:c>
      <x:c r="G56" s="10" t="n">
        <x:f>E56-F56</x:f>
        <x:v>408.65999999999997</x:v>
      </x:c>
      <x:c r="H56" s="12" t="n">
        <x:f>IFERROR(G56/E56,0)</x:f>
        <x:v>0.3358370862233326</x:v>
      </x:c>
    </x:row>
    <x:row r="57">
      <x:c r="A57" t="str">
        <x:v>ORD-0056</x:v>
      </x:c>
      <x:c r="B57" s="8" t="n">
        <x:v>46040</x:v>
      </x:c>
      <x:c r="C57" t="str">
        <x:v>Office Supplies</x:v>
      </x:c>
      <x:c r="D57" t="str">
        <x:v>Art</x:v>
      </x:c>
      <x:c r="E57" s="10" t="n">
        <x:v>517.89</x:v>
      </x:c>
      <x:c r="F57" s="10" t="n">
        <x:v>371.22</x:v>
      </x:c>
      <x:c r="G57" s="10" t="n">
        <x:f>E57-F57</x:f>
        <x:v>146.66999999999996</x:v>
      </x:c>
      <x:c r="H57" s="12" t="n">
        <x:f>IFERROR(G57/E57,0)</x:f>
        <x:v>0.2832068585993164</x:v>
      </x:c>
    </x:row>
    <x:row r="58">
      <x:c r="A58" t="str">
        <x:v>ORD-0057</x:v>
      </x:c>
      <x:c r="B58" s="8" t="n">
        <x:v>46162</x:v>
      </x:c>
      <x:c r="C58" t="str">
        <x:v>Office Supplies</x:v>
      </x:c>
      <x:c r="D58" t="str">
        <x:v>Art</x:v>
      </x:c>
      <x:c r="E58" s="10" t="n">
        <x:v>682.43</x:v>
      </x:c>
      <x:c r="F58" s="10" t="n">
        <x:v>582.64</x:v>
      </x:c>
      <x:c r="G58" s="10" t="n">
        <x:f>E58-F58</x:f>
        <x:v>99.78999999999996</x:v>
      </x:c>
      <x:c r="H58" s="12" t="n">
        <x:f>IFERROR(G58/E58,0)</x:f>
        <x:v>0.1462274518998285</x:v>
      </x:c>
    </x:row>
    <x:row r="59">
      <x:c r="A59" t="str">
        <x:v>ORD-0058</x:v>
      </x:c>
      <x:c r="B59" s="8" t="n">
        <x:v>46055</x:v>
      </x:c>
      <x:c r="C59" t="str">
        <x:v>Technology</x:v>
      </x:c>
      <x:c r="D59" t="str">
        <x:v>Accessories</x:v>
      </x:c>
      <x:c r="E59" s="10" t="n">
        <x:v>326.98</x:v>
      </x:c>
      <x:c r="F59" s="10" t="n">
        <x:v>223.15</x:v>
      </x:c>
      <x:c r="G59" s="10" t="n">
        <x:f>E59-F59</x:f>
        <x:v>103.83000000000001</x:v>
      </x:c>
      <x:c r="H59" s="12" t="n">
        <x:f>IFERROR(G59/E59,0)</x:f>
        <x:v>0.3175423573307236</x:v>
      </x:c>
    </x:row>
    <x:row r="60">
      <x:c r="A60" t="str">
        <x:v>ORD-0059</x:v>
      </x:c>
      <x:c r="B60" s="8" t="n">
        <x:v>46265</x:v>
      </x:c>
      <x:c r="C60" t="str">
        <x:v>Technology</x:v>
      </x:c>
      <x:c r="D60" t="str">
        <x:v>Copiers</x:v>
      </x:c>
      <x:c r="E60" s="10" t="n">
        <x:v>1013.1</x:v>
      </x:c>
      <x:c r="F60" s="10" t="n">
        <x:v>779.85</x:v>
      </x:c>
      <x:c r="G60" s="10" t="n">
        <x:f>E60-F60</x:f>
        <x:v>233.25</x:v>
      </x:c>
      <x:c r="H60" s="12" t="n">
        <x:f>IFERROR(G60/E60,0)</x:f>
        <x:v>0.2302339354456618</x:v>
      </x:c>
    </x:row>
    <x:row r="61">
      <x:c r="A61" t="str">
        <x:v>ORD-0060</x:v>
      </x:c>
      <x:c r="B61" s="8" t="n">
        <x:v>46181</x:v>
      </x:c>
      <x:c r="C61" t="str">
        <x:v>Technology</x:v>
      </x:c>
      <x:c r="D61" t="str">
        <x:v>Accessories</x:v>
      </x:c>
      <x:c r="E61" s="10" t="n">
        <x:v>1763.9</x:v>
      </x:c>
      <x:c r="F61" s="10" t="n">
        <x:v>1355.42</x:v>
      </x:c>
      <x:c r="G61" s="10" t="n">
        <x:f>E61-F61</x:f>
        <x:v>408.48</x:v>
      </x:c>
      <x:c r="H61" s="12" t="n">
        <x:f>IFERROR(G61/E61,0)</x:f>
        <x:v>0.2315777538409207</x:v>
      </x:c>
    </x:row>
  </x:sheetData>
  <x:conditionalFormatting sqref="G2:G61">
    <x:cfRule type="expression" dxfId="0" priority="1">
      <x:formula>G2&lt;0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b39dedfa304d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15" t="str">
        <x:v>Simple Profit Analysis</x:v>
      </x:c>
      <x:c r="B1" s="15"/>
      <x:c r="C1" s="15"/>
      <x:c r="D1" s="15"/>
      <x:c r="E1" s="15"/>
    </x:row>
    <x:row r="3">
      <x:c r="A3" s="20" t="str">
        <x:v>Category</x:v>
      </x:c>
      <x:c r="B3" s="20" t="str">
        <x:v>Total Sales</x:v>
      </x:c>
      <x:c r="C3" s="20" t="str">
        <x:v>Total Profit</x:v>
      </x:c>
      <x:c r="D3" s="20" t="str">
        <x:v>Average Profit</x:v>
      </x:c>
      <x:c r="E3" s="20" t="str">
        <x:v>Profit Margin</x:v>
      </x:c>
    </x:row>
    <x:row r="4">
      <x:c r="A4" t="str">
        <x:v>Furniture</x:v>
      </x:c>
      <x:c r="B4" s="10" t="n">
        <x:f>SUMIF('Sales Data'!$C$2:$C$61,A4,'Sales Data'!$E$2:$E$61)</x:f>
        <x:v>28329.5</x:v>
      </x:c>
      <x:c r="C4" s="10" t="n">
        <x:f>SUMIF('Sales Data'!$C$2:$C$61,A4,'Sales Data'!$G$2:$G$61)</x:f>
        <x:v>4367.98</x:v>
      </x:c>
      <x:c r="D4" s="10" t="n">
        <x:f>AVERAGEIF('Sales Data'!$C$2:$C$61,A4,'Sales Data'!$G$2:$G$61)</x:f>
        <x:v>167.99923076923076</x:v>
      </x:c>
      <x:c r="E4" s="12" t="n">
        <x:f>IFERROR(C4/B4,0)</x:f>
        <x:v>0.15418486030462944</x:v>
      </x:c>
    </x:row>
    <x:row r="5">
      <x:c r="A5" t="str">
        <x:v>Office Supplies</x:v>
      </x:c>
      <x:c r="B5" s="10" t="n">
        <x:f>SUMIF('Sales Data'!$C$2:$C$61,A5,'Sales Data'!$E$2:$E$61)</x:f>
        <x:v>14478.48</x:v>
      </x:c>
      <x:c r="C5" s="10" t="n">
        <x:f>SUMIF('Sales Data'!$C$2:$C$61,A5,'Sales Data'!$G$2:$G$61)</x:f>
        <x:v>2916.3199999999997</x:v>
      </x:c>
      <x:c r="D5" s="10" t="n">
        <x:f>AVERAGEIF('Sales Data'!$C$2:$C$61,A5,'Sales Data'!$G$2:$G$61)</x:f>
        <x:v>171.54823529411763</x:v>
      </x:c>
      <x:c r="E5" s="12" t="n">
        <x:f>IFERROR(C5/B5,0)</x:f>
        <x:v>0.2014244589211022</x:v>
      </x:c>
    </x:row>
    <x:row r="6">
      <x:c r="A6" t="str">
        <x:v>Technology</x:v>
      </x:c>
      <x:c r="B6" s="10" t="n">
        <x:f>SUMIF('Sales Data'!$C$2:$C$61,A6,'Sales Data'!$E$2:$E$61)</x:f>
        <x:v>15618.430000000002</x:v>
      </x:c>
      <x:c r="C6" s="10" t="n">
        <x:f>SUMIF('Sales Data'!$C$2:$C$61,A6,'Sales Data'!$G$2:$G$61)</x:f>
        <x:v>4028.64</x:v>
      </x:c>
      <x:c r="D6" s="10" t="n">
        <x:f>AVERAGEIF('Sales Data'!$C$2:$C$61,A6,'Sales Data'!$G$2:$G$61)</x:f>
        <x:v>236.97882352941176</x:v>
      </x:c>
      <x:c r="E6" s="12" t="n">
        <x:f>IFERROR(C6/B6,0)</x:f>
        <x:v>0.2579414192079485</x:v>
      </x:c>
    </x:row>
    <x:row r="9">
      <x:c r="A9" s="19" t="str">
        <x:v>Key Metric</x:v>
      </x:c>
      <x:c r="B9" s="19" t="str">
        <x:v>Value</x:v>
      </x:c>
    </x:row>
    <x:row r="10">
      <x:c r="A10" t="str">
        <x:v>Overall Sales</x:v>
      </x:c>
      <x:c r="B10" s="24" t="n">
        <x:f>SUM('Sales Data'!E2:E61)</x:f>
        <x:v>58426.409999999996</x:v>
      </x:c>
    </x:row>
    <x:row r="11">
      <x:c r="A11" t="str">
        <x:v>Overall Profit</x:v>
      </x:c>
      <x:c r="B11" s="24" t="n">
        <x:f>SUM('Sales Data'!G2:G61)</x:f>
        <x:v>11312.939999999997</x:v>
      </x:c>
    </x:row>
    <x:row r="12">
      <x:c r="A12" t="str">
        <x:v>Overall Margin</x:v>
      </x:c>
      <x:c r="B12" s="12" t="n">
        <x:f>IFERROR(B11/B10,0)</x:f>
        <x:v>0.19362716278477485</x:v>
      </x:c>
    </x:row>
    <x:row r="14">
      <x:c r="A14" s="28" t="str">
        <x:v>Interview Prep</x:v>
      </x:c>
      <x:c r="B14" s="28" t="str"/>
      <x:c r="C14" s="28" t="str"/>
      <x:c r="D14" s="28" t="str"/>
      <x:c r="E14" s="28" t="str"/>
    </x:row>
    <x:row r="15">
      <x:c r="A15" s="29" t="str">
        <x:v>Revenue vs Profit</x:v>
      </x:c>
      <x:c r="B15" s="30" t="str">
        <x:v>Revenue is total money earned from sales; profit is what remains after costs.</x:v>
      </x:c>
      <x:c r="C15" s="30" t="str"/>
      <x:c r="D15" s="30" t="str"/>
      <x:c r="E15" s="30" t="str"/>
    </x:row>
    <x:row r="16">
      <x:c r="A16" s="29" t="str">
        <x:v>Why high sales but low profit?</x:v>
      </x:c>
      <x:c r="B16" s="30" t="str">
        <x:v>High costs, discounts, returns, or low-margin products can reduce profit.</x:v>
      </x:c>
      <x:c r="C16" s="30" t="str"/>
      <x:c r="D16" s="30" t="str"/>
      <x:c r="E16" s="30" t="str"/>
    </x:row>
    <x:row r="17">
      <x:c r="A17" s="29" t="str">
        <x:v>Approach</x:v>
      </x:c>
      <x:c r="B17" s="30" t="str">
        <x:v>Grouped by category and compared totals, averages, and margins.</x:v>
      </x:c>
      <x:c r="C17" s="30" t="str"/>
      <x:c r="D17" s="30" t="str"/>
      <x:c r="E17" s="30" t="str"/>
    </x:row>
  </x:sheetData>
  <x:mergeCells>
    <x:mergeCell ref="A1:E1"/>
    <x:mergeCell ref="A14:E14"/>
    <x:mergeCell ref="B15:E15"/>
    <x:mergeCell ref="B16:E16"/>
    <x:mergeCell ref="B17:E17"/>
  </x:mergeCells>
  <x:pageMargins left="0.7" right="0.7" top="0.75" bottom="0.75" header="0.3" footer="0.3"/>
  <x:drawing xmlns:r="http://schemas.openxmlformats.org/officeDocument/2006/relationships" r:id="R2a68d44995084802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36" t="str">
        <x:v>Simple Profit Analysis — Submission Notes</x:v>
      </x:c>
    </x:row>
    <x:row r="2">
      <x:c r="A2" s="30"/>
    </x:row>
    <x:row r="3">
      <x:c r="A3" s="30" t="str">
        <x:v>Objective: Compare total profit across product categories and understand basic profitability.</x:v>
      </x:c>
    </x:row>
    <x:row r="4">
      <x:c r="A4" s="30" t="str">
        <x:v>Tool: Microsoft Excel.</x:v>
      </x:c>
    </x:row>
    <x:row r="5">
      <x:c r="A5" s="30" t="str">
        <x:v>Dataset: Superstore-style synthetic practice dataset included in this workbook.</x:v>
      </x:c>
    </x:row>
    <x:row r="6">
      <x:c r="A6" s="30" t="str">
        <x:v>Approach: Profit = Sales - Cost; Profit Margin = Profit / Sales; grouped by Category using SUMIF and AVERAGEIF.</x:v>
      </x:c>
    </x:row>
    <x:row r="7">
      <x:c r="A7" s="30" t="str">
        <x:v>Deliverables completed: Profit summary + chart.</x:v>
      </x:c>
    </x:row>
    <x:row r="8">
      <x:c r="A8" s="30" t="str">
        <x:v>GitHub: Upload this workbook and create a README.md describing objective, formulas, analysis, and outcome.</x:v>
      </x:c>
    </x:row>
    <x:row r="9">
      <x:c r="A9" s="30" t="str">
        <x:v>LinkedIn: Share the completed project/screenshot as required by the internship portal.</x:v>
      </x:c>
    </x:row>
    <x:row r="10">
      <x:c r="A10" s="30" t="str">
        <x:v>Important: If the internship requires the official Superstore dataset, replace the synthetic Sales Data sheet before final submission.</x:v>
      </x:c>
    </x:row>
  </x:sheetData>
  <x:pageMargins left="0.7" right="0.7" top="0.75" bottom="0.75" header="0.3" footer="0.3"/>
</x:worksheet>
</file>